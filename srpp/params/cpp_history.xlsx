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80002036\Documents\GitHub\srpp\srpp\params\"/>
    </mc:Choice>
  </mc:AlternateContent>
  <xr:revisionPtr revIDLastSave="0" documentId="13_ncr:1_{EACE01DA-B95B-48C5-83E7-E25E741F29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ppyear" sheetId="1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E56" i="1"/>
  <c r="E55" i="1"/>
</calcChain>
</file>

<file path=xl/sharedStrings.xml><?xml version="1.0" encoding="utf-8"?>
<sst xmlns="http://schemas.openxmlformats.org/spreadsheetml/2006/main" count="29" uniqueCount="29">
  <si>
    <t>year</t>
  </si>
  <si>
    <t>ympe</t>
  </si>
  <si>
    <t>exempt</t>
  </si>
  <si>
    <t>worker</t>
  </si>
  <si>
    <t>employer</t>
  </si>
  <si>
    <t>selfemp</t>
  </si>
  <si>
    <t>arf</t>
  </si>
  <si>
    <t>drc</t>
  </si>
  <si>
    <t>nympe</t>
  </si>
  <si>
    <t>reprate</t>
  </si>
  <si>
    <t>droprate</t>
  </si>
  <si>
    <t>era</t>
  </si>
  <si>
    <t>nra</t>
  </si>
  <si>
    <t>lra</t>
  </si>
  <si>
    <t>supp</t>
  </si>
  <si>
    <t>disab_rate</t>
  </si>
  <si>
    <t>disab_base</t>
  </si>
  <si>
    <t>cola</t>
  </si>
  <si>
    <t>ympe_s2</t>
  </si>
  <si>
    <t>worker_s1</t>
  </si>
  <si>
    <t>employer_s1</t>
  </si>
  <si>
    <t>worker_s2</t>
  </si>
  <si>
    <t>employer_s2</t>
  </si>
  <si>
    <t>selfemp_s1</t>
  </si>
  <si>
    <t>selfemp_s2</t>
  </si>
  <si>
    <t>reprate_s1</t>
  </si>
  <si>
    <t>reprate_s2</t>
  </si>
  <si>
    <t>supp_s1</t>
  </si>
  <si>
    <t>supp_s2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</si>
</sst>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2" borderId="0" xfId="0" applyNumberFormat="1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1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165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"/>
  <sheetViews>
    <sheetView tabSelected="1" workbookViewId="0">
      <pane xSplit="1" ySplit="1" topLeftCell="C17" activePane="bottomRight" state="frozen"/>
      <selection pane="topRight" activeCell="B1" sqref="B1"/>
      <selection pane="bottomLeft" activeCell="A2" sqref="A2"/>
      <selection pane="bottomRight" activeCell="Z63" sqref="Z63"/>
    </sheetView>
  </sheetViews>
  <sheetFormatPr baseColWidth="10" defaultColWidth="11" defaultRowHeight="15.75" x14ac:dyDescent="0.25"/>
  <cols>
    <col min="1" max="1" width="11" style="4" customWidth="1"/>
    <col min="2" max="18" width="10.875" style="5" customWidth="1"/>
    <col min="19" max="20" width="11" style="4" customWidth="1"/>
    <col min="21" max="21" width="11.625" style="4" bestFit="1" customWidth="1"/>
    <col min="22" max="22" width="11" style="4" customWidth="1"/>
    <col min="23" max="23" width="11.625" style="4" bestFit="1" customWidth="1"/>
    <col min="24" max="27" width="11" style="4" customWidth="1"/>
    <col min="28" max="29" width="10.875" style="4" customWidth="1"/>
    <col min="30" max="30" width="11" style="4" customWidth="1"/>
    <col min="31" max="16384" width="11" style="4"/>
  </cols>
  <sheetData>
    <row r="1" spans="1:2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s="6">
        <v>1966</v>
      </c>
      <c r="B2" s="1">
        <v>5000</v>
      </c>
      <c r="C2" s="1">
        <v>600</v>
      </c>
      <c r="D2" s="2">
        <v>1.7999999999999999E-2</v>
      </c>
      <c r="E2" s="2">
        <v>1.7999999999999999E-2</v>
      </c>
      <c r="F2" s="3">
        <v>3.5999999999999997E-2</v>
      </c>
      <c r="G2" s="3">
        <v>0</v>
      </c>
      <c r="H2" s="3">
        <v>0</v>
      </c>
      <c r="I2" s="1">
        <v>3</v>
      </c>
      <c r="J2" s="1">
        <v>0</v>
      </c>
      <c r="K2" s="1">
        <v>0.15</v>
      </c>
      <c r="L2" s="1">
        <v>69</v>
      </c>
      <c r="M2" s="1">
        <v>69</v>
      </c>
      <c r="N2" s="1">
        <v>70</v>
      </c>
      <c r="O2" s="1">
        <v>0</v>
      </c>
      <c r="P2" s="1">
        <v>0.75</v>
      </c>
      <c r="Q2" s="1">
        <v>0</v>
      </c>
      <c r="R2" s="3">
        <v>0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7">
        <v>0</v>
      </c>
      <c r="AC2" s="7">
        <v>0</v>
      </c>
    </row>
    <row r="3" spans="1:29" x14ac:dyDescent="0.25">
      <c r="A3" s="6">
        <v>1967</v>
      </c>
      <c r="B3" s="1">
        <v>5000</v>
      </c>
      <c r="C3" s="1">
        <v>600</v>
      </c>
      <c r="D3" s="2">
        <v>1.7999999999999999E-2</v>
      </c>
      <c r="E3" s="2">
        <v>1.7999999999999999E-2</v>
      </c>
      <c r="F3" s="3">
        <v>3.5999999999999997E-2</v>
      </c>
      <c r="G3" s="3">
        <v>0</v>
      </c>
      <c r="H3" s="3">
        <v>0</v>
      </c>
      <c r="I3" s="1">
        <v>3</v>
      </c>
      <c r="J3" s="1">
        <v>0</v>
      </c>
      <c r="K3" s="1">
        <v>0.15</v>
      </c>
      <c r="L3" s="1">
        <v>68</v>
      </c>
      <c r="M3" s="1">
        <v>68</v>
      </c>
      <c r="N3" s="1">
        <v>70</v>
      </c>
      <c r="O3" s="1">
        <v>0</v>
      </c>
      <c r="P3" s="1">
        <v>0.75</v>
      </c>
      <c r="Q3" s="1">
        <v>0</v>
      </c>
      <c r="R3" s="3">
        <v>0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7">
        <v>0</v>
      </c>
      <c r="AC3" s="7">
        <v>0</v>
      </c>
    </row>
    <row r="4" spans="1:29" x14ac:dyDescent="0.25">
      <c r="A4" s="6">
        <v>1968</v>
      </c>
      <c r="B4" s="1">
        <v>5100</v>
      </c>
      <c r="C4" s="1">
        <v>600</v>
      </c>
      <c r="D4" s="2">
        <v>1.7999999999999999E-2</v>
      </c>
      <c r="E4" s="2">
        <v>1.7999999999999999E-2</v>
      </c>
      <c r="F4" s="3">
        <v>3.5999999999999997E-2</v>
      </c>
      <c r="G4" s="3">
        <v>0</v>
      </c>
      <c r="H4" s="3">
        <v>0</v>
      </c>
      <c r="I4" s="1">
        <v>3</v>
      </c>
      <c r="J4" s="1">
        <v>0.25</v>
      </c>
      <c r="K4" s="1">
        <v>0.15</v>
      </c>
      <c r="L4" s="1">
        <v>67</v>
      </c>
      <c r="M4" s="1">
        <v>67</v>
      </c>
      <c r="N4" s="1">
        <v>70</v>
      </c>
      <c r="O4" s="1">
        <v>0</v>
      </c>
      <c r="P4" s="1">
        <v>0.75</v>
      </c>
      <c r="Q4" s="1">
        <v>0</v>
      </c>
      <c r="R4" s="3">
        <v>0.02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7">
        <v>0</v>
      </c>
      <c r="AC4" s="7">
        <v>0</v>
      </c>
    </row>
    <row r="5" spans="1:29" x14ac:dyDescent="0.25">
      <c r="A5" s="6">
        <v>1969</v>
      </c>
      <c r="B5" s="1">
        <v>5200</v>
      </c>
      <c r="C5" s="1">
        <v>600</v>
      </c>
      <c r="D5" s="2">
        <v>1.7999999999999999E-2</v>
      </c>
      <c r="E5" s="2">
        <v>1.7999999999999999E-2</v>
      </c>
      <c r="F5" s="3">
        <v>3.5999999999999997E-2</v>
      </c>
      <c r="G5" s="3">
        <v>0</v>
      </c>
      <c r="H5" s="3">
        <v>0</v>
      </c>
      <c r="I5" s="1">
        <v>3</v>
      </c>
      <c r="J5" s="1">
        <v>0.25</v>
      </c>
      <c r="K5" s="1">
        <v>0.15</v>
      </c>
      <c r="L5" s="1">
        <v>66</v>
      </c>
      <c r="M5" s="1">
        <v>66</v>
      </c>
      <c r="N5" s="1">
        <v>70</v>
      </c>
      <c r="O5" s="1">
        <v>0</v>
      </c>
      <c r="P5" s="1">
        <v>0.75</v>
      </c>
      <c r="Q5" s="1">
        <v>0</v>
      </c>
      <c r="R5" s="3">
        <v>0.02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7">
        <v>0</v>
      </c>
      <c r="AC5" s="7">
        <v>0</v>
      </c>
    </row>
    <row r="6" spans="1:29" x14ac:dyDescent="0.25">
      <c r="A6" s="6">
        <v>1970</v>
      </c>
      <c r="B6" s="1">
        <v>5300</v>
      </c>
      <c r="C6" s="1">
        <v>600</v>
      </c>
      <c r="D6" s="2">
        <v>1.7999999999999999E-2</v>
      </c>
      <c r="E6" s="2">
        <v>1.7999999999999999E-2</v>
      </c>
      <c r="F6" s="3">
        <v>3.5999999999999997E-2</v>
      </c>
      <c r="G6" s="3">
        <v>0</v>
      </c>
      <c r="H6" s="3">
        <v>0</v>
      </c>
      <c r="I6" s="1">
        <v>3</v>
      </c>
      <c r="J6" s="1">
        <v>0.25</v>
      </c>
      <c r="K6" s="1">
        <v>0.15</v>
      </c>
      <c r="L6" s="1">
        <v>65</v>
      </c>
      <c r="M6" s="1">
        <v>65</v>
      </c>
      <c r="N6" s="1">
        <v>70</v>
      </c>
      <c r="O6" s="1">
        <v>0</v>
      </c>
      <c r="P6" s="1">
        <v>0.75</v>
      </c>
      <c r="Q6" s="1">
        <v>26.53</v>
      </c>
      <c r="R6" s="3">
        <v>0.02</v>
      </c>
      <c r="S6" s="4">
        <v>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7">
        <v>0</v>
      </c>
      <c r="AC6" s="7">
        <v>0</v>
      </c>
    </row>
    <row r="7" spans="1:29" x14ac:dyDescent="0.25">
      <c r="A7" s="6">
        <v>1971</v>
      </c>
      <c r="B7" s="1">
        <v>5400</v>
      </c>
      <c r="C7" s="1">
        <v>600</v>
      </c>
      <c r="D7" s="2">
        <v>1.7999999999999999E-2</v>
      </c>
      <c r="E7" s="2">
        <v>1.7999999999999999E-2</v>
      </c>
      <c r="F7" s="3">
        <v>3.5999999999999997E-2</v>
      </c>
      <c r="G7" s="3">
        <v>0</v>
      </c>
      <c r="H7" s="3">
        <v>0</v>
      </c>
      <c r="I7" s="1">
        <v>3</v>
      </c>
      <c r="J7" s="1">
        <v>0.25</v>
      </c>
      <c r="K7" s="1">
        <v>0.15</v>
      </c>
      <c r="L7" s="1">
        <v>65</v>
      </c>
      <c r="M7" s="1">
        <v>65</v>
      </c>
      <c r="N7" s="1">
        <v>70</v>
      </c>
      <c r="O7" s="1">
        <v>0</v>
      </c>
      <c r="P7" s="1">
        <v>0.75</v>
      </c>
      <c r="Q7" s="1">
        <v>27.06</v>
      </c>
      <c r="R7" s="3">
        <v>0.02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7">
        <v>0</v>
      </c>
      <c r="AC7" s="7">
        <v>0</v>
      </c>
    </row>
    <row r="8" spans="1:29" x14ac:dyDescent="0.25">
      <c r="A8" s="6">
        <v>1972</v>
      </c>
      <c r="B8" s="1">
        <v>5500</v>
      </c>
      <c r="C8" s="1">
        <v>600</v>
      </c>
      <c r="D8" s="2">
        <v>1.7999999999999999E-2</v>
      </c>
      <c r="E8" s="2">
        <v>1.7999999999999999E-2</v>
      </c>
      <c r="F8" s="3">
        <v>3.5999999999999997E-2</v>
      </c>
      <c r="G8" s="3">
        <v>0</v>
      </c>
      <c r="H8" s="3">
        <v>0</v>
      </c>
      <c r="I8" s="1">
        <v>3</v>
      </c>
      <c r="J8" s="1">
        <v>0.25</v>
      </c>
      <c r="K8" s="1">
        <v>0.15</v>
      </c>
      <c r="L8" s="1">
        <v>65</v>
      </c>
      <c r="M8" s="1">
        <v>65</v>
      </c>
      <c r="N8" s="1">
        <v>70</v>
      </c>
      <c r="O8" s="1">
        <v>0</v>
      </c>
      <c r="P8" s="1">
        <v>0.75</v>
      </c>
      <c r="Q8" s="1">
        <v>80</v>
      </c>
      <c r="R8" s="3">
        <v>0.02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7">
        <v>0</v>
      </c>
      <c r="AC8" s="7">
        <v>0</v>
      </c>
    </row>
    <row r="9" spans="1:29" x14ac:dyDescent="0.25">
      <c r="A9" s="6">
        <v>1973</v>
      </c>
      <c r="B9" s="1">
        <v>5600</v>
      </c>
      <c r="C9" s="1">
        <v>600</v>
      </c>
      <c r="D9" s="2">
        <v>1.7999999999999999E-2</v>
      </c>
      <c r="E9" s="2">
        <v>1.7999999999999999E-2</v>
      </c>
      <c r="F9" s="3">
        <v>3.5999999999999997E-2</v>
      </c>
      <c r="G9" s="3">
        <v>0</v>
      </c>
      <c r="H9" s="3">
        <v>0</v>
      </c>
      <c r="I9" s="1">
        <v>3</v>
      </c>
      <c r="J9" s="1">
        <v>0.25</v>
      </c>
      <c r="K9" s="1">
        <v>0.15</v>
      </c>
      <c r="L9" s="1">
        <v>65</v>
      </c>
      <c r="M9" s="1">
        <v>65</v>
      </c>
      <c r="N9" s="1">
        <v>70</v>
      </c>
      <c r="O9" s="1">
        <v>0</v>
      </c>
      <c r="P9" s="1">
        <v>0.75</v>
      </c>
      <c r="Q9" s="1">
        <v>86.56</v>
      </c>
      <c r="R9" s="3">
        <v>0.03</v>
      </c>
      <c r="S9" s="4">
        <v>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7">
        <v>0</v>
      </c>
      <c r="AC9" s="7">
        <v>0</v>
      </c>
    </row>
    <row r="10" spans="1:29" x14ac:dyDescent="0.25">
      <c r="A10" s="6">
        <v>1974</v>
      </c>
      <c r="B10" s="1">
        <v>6600</v>
      </c>
      <c r="C10" s="1">
        <v>700</v>
      </c>
      <c r="D10" s="2">
        <v>1.7999999999999999E-2</v>
      </c>
      <c r="E10" s="2">
        <v>1.7999999999999999E-2</v>
      </c>
      <c r="F10" s="3">
        <v>3.5999999999999997E-2</v>
      </c>
      <c r="G10" s="3">
        <v>0</v>
      </c>
      <c r="H10" s="3">
        <v>0</v>
      </c>
      <c r="I10" s="1">
        <v>3</v>
      </c>
      <c r="J10" s="1">
        <v>0.25</v>
      </c>
      <c r="K10" s="1">
        <v>0.15</v>
      </c>
      <c r="L10" s="1">
        <v>65</v>
      </c>
      <c r="M10" s="1">
        <v>65</v>
      </c>
      <c r="N10" s="1">
        <v>70</v>
      </c>
      <c r="O10" s="1">
        <v>0</v>
      </c>
      <c r="P10" s="1">
        <v>0.75</v>
      </c>
      <c r="Q10" s="1">
        <v>95.59</v>
      </c>
      <c r="R10" s="3">
        <v>8.2000000000000003E-2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7">
        <v>0</v>
      </c>
      <c r="AC10" s="7">
        <v>0</v>
      </c>
    </row>
    <row r="11" spans="1:29" x14ac:dyDescent="0.25">
      <c r="A11" s="6">
        <v>1975</v>
      </c>
      <c r="B11" s="1">
        <v>7400</v>
      </c>
      <c r="C11" s="1">
        <v>700</v>
      </c>
      <c r="D11" s="2">
        <v>1.7999999999999999E-2</v>
      </c>
      <c r="E11" s="2">
        <v>1.7999999999999999E-2</v>
      </c>
      <c r="F11" s="3">
        <v>3.5999999999999997E-2</v>
      </c>
      <c r="G11" s="3">
        <v>0</v>
      </c>
      <c r="H11" s="3">
        <v>0</v>
      </c>
      <c r="I11" s="1">
        <v>3</v>
      </c>
      <c r="J11" s="1">
        <v>0.25</v>
      </c>
      <c r="K11" s="1">
        <v>0.15</v>
      </c>
      <c r="L11" s="1">
        <v>65</v>
      </c>
      <c r="M11" s="1">
        <v>65</v>
      </c>
      <c r="N11" s="1">
        <v>70</v>
      </c>
      <c r="O11" s="1">
        <v>0</v>
      </c>
      <c r="P11" s="1">
        <v>0.75</v>
      </c>
      <c r="Q11" s="1">
        <v>106.26</v>
      </c>
      <c r="R11" s="3">
        <v>0.104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7">
        <v>0</v>
      </c>
      <c r="AC11" s="7">
        <v>0</v>
      </c>
    </row>
    <row r="12" spans="1:29" x14ac:dyDescent="0.25">
      <c r="A12" s="6">
        <v>1976</v>
      </c>
      <c r="B12" s="1">
        <v>8300</v>
      </c>
      <c r="C12" s="1">
        <v>800</v>
      </c>
      <c r="D12" s="2">
        <v>1.7999999999999999E-2</v>
      </c>
      <c r="E12" s="2">
        <v>1.7999999999999999E-2</v>
      </c>
      <c r="F12" s="3">
        <v>3.5999999999999997E-2</v>
      </c>
      <c r="G12" s="3">
        <v>0</v>
      </c>
      <c r="H12" s="3">
        <v>0</v>
      </c>
      <c r="I12" s="1">
        <v>3</v>
      </c>
      <c r="J12" s="1">
        <v>0.25</v>
      </c>
      <c r="K12" s="1">
        <v>0.15</v>
      </c>
      <c r="L12" s="1">
        <v>65</v>
      </c>
      <c r="M12" s="1">
        <v>65</v>
      </c>
      <c r="N12" s="1">
        <v>70</v>
      </c>
      <c r="O12" s="1">
        <v>0</v>
      </c>
      <c r="P12" s="1">
        <v>0.75</v>
      </c>
      <c r="Q12" s="1">
        <v>114.96</v>
      </c>
      <c r="R12" s="3">
        <v>0.112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7">
        <v>0</v>
      </c>
      <c r="AC12" s="7">
        <v>0</v>
      </c>
    </row>
    <row r="13" spans="1:29" x14ac:dyDescent="0.25">
      <c r="A13" s="6">
        <v>1977</v>
      </c>
      <c r="B13" s="1">
        <v>9300</v>
      </c>
      <c r="C13" s="1">
        <v>900</v>
      </c>
      <c r="D13" s="2">
        <v>1.7999999999999999E-2</v>
      </c>
      <c r="E13" s="2">
        <v>1.7999999999999999E-2</v>
      </c>
      <c r="F13" s="3">
        <v>3.5999999999999997E-2</v>
      </c>
      <c r="G13" s="3">
        <v>0</v>
      </c>
      <c r="H13" s="3">
        <v>0</v>
      </c>
      <c r="I13" s="1">
        <v>3</v>
      </c>
      <c r="J13" s="1">
        <v>0.25</v>
      </c>
      <c r="K13" s="1">
        <v>0.15</v>
      </c>
      <c r="L13" s="1">
        <v>65</v>
      </c>
      <c r="M13" s="1">
        <v>65</v>
      </c>
      <c r="N13" s="1">
        <v>70</v>
      </c>
      <c r="O13" s="1">
        <v>0</v>
      </c>
      <c r="P13" s="1">
        <v>0.75</v>
      </c>
      <c r="Q13" s="1">
        <v>123.56</v>
      </c>
      <c r="R13" s="3">
        <v>8.2000000000000003E-2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7">
        <v>0</v>
      </c>
      <c r="AC13" s="7">
        <v>0</v>
      </c>
    </row>
    <row r="14" spans="1:29" x14ac:dyDescent="0.25">
      <c r="A14" s="6">
        <v>1978</v>
      </c>
      <c r="B14" s="1">
        <v>10400</v>
      </c>
      <c r="C14" s="1">
        <v>1000</v>
      </c>
      <c r="D14" s="2">
        <v>1.7999999999999999E-2</v>
      </c>
      <c r="E14" s="2">
        <v>1.7999999999999999E-2</v>
      </c>
      <c r="F14" s="3">
        <v>3.5999999999999997E-2</v>
      </c>
      <c r="G14" s="3">
        <v>0</v>
      </c>
      <c r="H14" s="3">
        <v>0</v>
      </c>
      <c r="I14" s="1">
        <v>3</v>
      </c>
      <c r="J14" s="1">
        <v>0.25</v>
      </c>
      <c r="K14" s="1">
        <v>0.15</v>
      </c>
      <c r="L14" s="1">
        <v>65</v>
      </c>
      <c r="M14" s="1">
        <v>65</v>
      </c>
      <c r="N14" s="1">
        <v>70</v>
      </c>
      <c r="O14" s="1">
        <v>0</v>
      </c>
      <c r="P14" s="1">
        <v>0.75</v>
      </c>
      <c r="Q14" s="1">
        <v>134.63999999999999</v>
      </c>
      <c r="R14" s="3">
        <v>7.4999999999999997E-2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7">
        <v>0</v>
      </c>
      <c r="AC14" s="7">
        <v>0</v>
      </c>
    </row>
    <row r="15" spans="1:29" x14ac:dyDescent="0.25">
      <c r="A15" s="6">
        <v>1979</v>
      </c>
      <c r="B15" s="1">
        <v>11700</v>
      </c>
      <c r="C15" s="1">
        <v>1100</v>
      </c>
      <c r="D15" s="2">
        <v>1.7999999999999999E-2</v>
      </c>
      <c r="E15" s="2">
        <v>1.7999999999999999E-2</v>
      </c>
      <c r="F15" s="3">
        <v>3.5999999999999997E-2</v>
      </c>
      <c r="G15" s="3">
        <v>0</v>
      </c>
      <c r="H15" s="3">
        <v>0</v>
      </c>
      <c r="I15" s="1">
        <v>3</v>
      </c>
      <c r="J15" s="1">
        <v>0.25</v>
      </c>
      <c r="K15" s="1">
        <v>0.15</v>
      </c>
      <c r="L15" s="1">
        <v>65</v>
      </c>
      <c r="M15" s="1">
        <v>65</v>
      </c>
      <c r="N15" s="1">
        <v>70</v>
      </c>
      <c r="O15" s="1">
        <v>0</v>
      </c>
      <c r="P15" s="1">
        <v>0.75</v>
      </c>
      <c r="Q15" s="1">
        <v>146.78</v>
      </c>
      <c r="R15" s="3">
        <v>0.09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7">
        <v>0</v>
      </c>
      <c r="AC15" s="7">
        <v>0</v>
      </c>
    </row>
    <row r="16" spans="1:29" x14ac:dyDescent="0.25">
      <c r="A16" s="6">
        <v>1980</v>
      </c>
      <c r="B16" s="1">
        <v>13100</v>
      </c>
      <c r="C16" s="1">
        <v>1300</v>
      </c>
      <c r="D16" s="2">
        <v>1.7999999999999999E-2</v>
      </c>
      <c r="E16" s="2">
        <v>1.7999999999999999E-2</v>
      </c>
      <c r="F16" s="3">
        <v>3.5999999999999997E-2</v>
      </c>
      <c r="G16" s="3">
        <v>0</v>
      </c>
      <c r="H16" s="3">
        <v>0</v>
      </c>
      <c r="I16" s="1">
        <v>3</v>
      </c>
      <c r="J16" s="1">
        <v>0.25</v>
      </c>
      <c r="K16" s="1">
        <v>0.15</v>
      </c>
      <c r="L16" s="1">
        <v>65</v>
      </c>
      <c r="M16" s="1">
        <v>65</v>
      </c>
      <c r="N16" s="1">
        <v>70</v>
      </c>
      <c r="O16" s="1">
        <v>0</v>
      </c>
      <c r="P16" s="1">
        <v>0.75</v>
      </c>
      <c r="Q16" s="1">
        <v>161.31</v>
      </c>
      <c r="R16" s="3">
        <v>0.09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7">
        <v>0</v>
      </c>
      <c r="AC16" s="7">
        <v>0</v>
      </c>
    </row>
    <row r="17" spans="1:29" x14ac:dyDescent="0.25">
      <c r="A17" s="6">
        <v>1981</v>
      </c>
      <c r="B17" s="1">
        <v>14700</v>
      </c>
      <c r="C17" s="1">
        <v>1400</v>
      </c>
      <c r="D17" s="2">
        <v>1.7999999999999999E-2</v>
      </c>
      <c r="E17" s="2">
        <v>1.7999999999999999E-2</v>
      </c>
      <c r="F17" s="3">
        <v>3.5999999999999997E-2</v>
      </c>
      <c r="G17" s="3">
        <v>0</v>
      </c>
      <c r="H17" s="3">
        <v>0</v>
      </c>
      <c r="I17" s="1">
        <v>3</v>
      </c>
      <c r="J17" s="1">
        <v>0.25</v>
      </c>
      <c r="K17" s="1">
        <v>0.15</v>
      </c>
      <c r="L17" s="1">
        <v>65</v>
      </c>
      <c r="M17" s="1">
        <v>65</v>
      </c>
      <c r="N17" s="1">
        <v>70</v>
      </c>
      <c r="O17" s="1">
        <v>0</v>
      </c>
      <c r="P17" s="1">
        <v>0.75</v>
      </c>
      <c r="Q17" s="1">
        <v>181.18</v>
      </c>
      <c r="R17" s="3">
        <v>9.9000000000000005E-2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7">
        <v>0</v>
      </c>
      <c r="AC17" s="7">
        <v>0</v>
      </c>
    </row>
    <row r="18" spans="1:29" x14ac:dyDescent="0.25">
      <c r="A18" s="6">
        <v>1982</v>
      </c>
      <c r="B18" s="1">
        <v>16500</v>
      </c>
      <c r="C18" s="1">
        <v>1600</v>
      </c>
      <c r="D18" s="2">
        <v>1.7999999999999999E-2</v>
      </c>
      <c r="E18" s="2">
        <v>1.7999999999999999E-2</v>
      </c>
      <c r="F18" s="3">
        <v>3.5999999999999997E-2</v>
      </c>
      <c r="G18" s="3">
        <v>0</v>
      </c>
      <c r="H18" s="3">
        <v>0</v>
      </c>
      <c r="I18" s="1">
        <v>3</v>
      </c>
      <c r="J18" s="1">
        <v>0.25</v>
      </c>
      <c r="K18" s="1">
        <v>0.15</v>
      </c>
      <c r="L18" s="1">
        <v>65</v>
      </c>
      <c r="M18" s="1">
        <v>65</v>
      </c>
      <c r="N18" s="1">
        <v>70</v>
      </c>
      <c r="O18" s="1">
        <v>0</v>
      </c>
      <c r="P18" s="1">
        <v>0.75</v>
      </c>
      <c r="Q18" s="1">
        <v>201.44</v>
      </c>
      <c r="R18" s="3">
        <v>0.123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7">
        <v>0</v>
      </c>
      <c r="AC18" s="7">
        <v>0</v>
      </c>
    </row>
    <row r="19" spans="1:29" x14ac:dyDescent="0.25">
      <c r="A19" s="6">
        <v>1983</v>
      </c>
      <c r="B19" s="1">
        <v>18500</v>
      </c>
      <c r="C19" s="1">
        <v>1800</v>
      </c>
      <c r="D19" s="2">
        <v>1.7999999999999999E-2</v>
      </c>
      <c r="E19" s="2">
        <v>1.7999999999999999E-2</v>
      </c>
      <c r="F19" s="3">
        <v>3.5999999999999997E-2</v>
      </c>
      <c r="G19" s="3">
        <v>0</v>
      </c>
      <c r="H19" s="3">
        <v>0</v>
      </c>
      <c r="I19" s="1">
        <v>3</v>
      </c>
      <c r="J19" s="1">
        <v>0.25</v>
      </c>
      <c r="K19" s="1">
        <v>0.15</v>
      </c>
      <c r="L19" s="1">
        <v>65</v>
      </c>
      <c r="M19" s="1">
        <v>65</v>
      </c>
      <c r="N19" s="1">
        <v>70</v>
      </c>
      <c r="O19" s="1">
        <v>0</v>
      </c>
      <c r="P19" s="1">
        <v>0.75</v>
      </c>
      <c r="Q19" s="1">
        <v>214.94</v>
      </c>
      <c r="R19" s="3">
        <v>0.112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7">
        <v>0</v>
      </c>
      <c r="AC19" s="7">
        <v>0</v>
      </c>
    </row>
    <row r="20" spans="1:29" x14ac:dyDescent="0.25">
      <c r="A20" s="6">
        <v>1984</v>
      </c>
      <c r="B20" s="1">
        <v>20800</v>
      </c>
      <c r="C20" s="1">
        <v>2000</v>
      </c>
      <c r="D20" s="2">
        <v>1.7999999999999999E-2</v>
      </c>
      <c r="E20" s="2">
        <v>1.7999999999999999E-2</v>
      </c>
      <c r="F20" s="3">
        <v>3.5999999999999997E-2</v>
      </c>
      <c r="G20" s="3">
        <v>0</v>
      </c>
      <c r="H20" s="3">
        <v>0</v>
      </c>
      <c r="I20" s="1">
        <v>3</v>
      </c>
      <c r="J20" s="1">
        <v>0.25</v>
      </c>
      <c r="K20" s="1">
        <v>0.15</v>
      </c>
      <c r="L20" s="1">
        <v>65</v>
      </c>
      <c r="M20" s="1">
        <v>65</v>
      </c>
      <c r="N20" s="1">
        <v>70</v>
      </c>
      <c r="O20" s="1">
        <v>0</v>
      </c>
      <c r="P20" s="1">
        <v>0.75</v>
      </c>
      <c r="Q20" s="1">
        <v>224.4</v>
      </c>
      <c r="R20" s="3">
        <v>6.7000000000000004E-2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7">
        <v>0</v>
      </c>
      <c r="AC20" s="7">
        <v>0</v>
      </c>
    </row>
    <row r="21" spans="1:29" x14ac:dyDescent="0.25">
      <c r="A21" s="6">
        <v>1985</v>
      </c>
      <c r="B21" s="1">
        <v>23400</v>
      </c>
      <c r="C21" s="1">
        <v>2300</v>
      </c>
      <c r="D21" s="2">
        <v>1.7999999999999999E-2</v>
      </c>
      <c r="E21" s="2">
        <v>1.7999999999999999E-2</v>
      </c>
      <c r="F21" s="3">
        <v>3.5999999999999997E-2</v>
      </c>
      <c r="G21" s="3">
        <v>0</v>
      </c>
      <c r="H21" s="3">
        <v>0</v>
      </c>
      <c r="I21" s="1">
        <v>3</v>
      </c>
      <c r="J21" s="1">
        <v>0.25</v>
      </c>
      <c r="K21" s="1">
        <v>0.15</v>
      </c>
      <c r="L21" s="1">
        <v>65</v>
      </c>
      <c r="M21" s="1">
        <v>65</v>
      </c>
      <c r="N21" s="1">
        <v>70</v>
      </c>
      <c r="O21" s="1">
        <v>0</v>
      </c>
      <c r="P21" s="1">
        <v>0.75</v>
      </c>
      <c r="Q21" s="1">
        <v>233.4</v>
      </c>
      <c r="R21" s="3">
        <v>4.3999999999999997E-2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7">
        <v>0</v>
      </c>
      <c r="AC21" s="7">
        <v>0</v>
      </c>
    </row>
    <row r="22" spans="1:29" x14ac:dyDescent="0.25">
      <c r="A22" s="6">
        <v>1986</v>
      </c>
      <c r="B22" s="1">
        <v>25800</v>
      </c>
      <c r="C22" s="1">
        <v>2500</v>
      </c>
      <c r="D22" s="2">
        <v>1.7999999999999999E-2</v>
      </c>
      <c r="E22" s="2">
        <v>1.7999999999999999E-2</v>
      </c>
      <c r="F22" s="3">
        <v>3.5999999999999997E-2</v>
      </c>
      <c r="G22" s="3">
        <v>0</v>
      </c>
      <c r="H22" s="3">
        <v>0</v>
      </c>
      <c r="I22" s="1">
        <v>3</v>
      </c>
      <c r="J22" s="1">
        <v>0.25</v>
      </c>
      <c r="K22" s="1">
        <v>0.15</v>
      </c>
      <c r="L22" s="1">
        <v>65</v>
      </c>
      <c r="M22" s="1">
        <v>65</v>
      </c>
      <c r="N22" s="1">
        <v>70</v>
      </c>
      <c r="O22" s="1">
        <v>0</v>
      </c>
      <c r="P22" s="1">
        <v>0.75</v>
      </c>
      <c r="Q22" s="1">
        <v>242.95</v>
      </c>
      <c r="R22" s="3">
        <v>0.04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7">
        <v>0</v>
      </c>
      <c r="AC22" s="7">
        <v>0</v>
      </c>
    </row>
    <row r="23" spans="1:29" x14ac:dyDescent="0.25">
      <c r="A23" s="6">
        <v>1987</v>
      </c>
      <c r="B23" s="1">
        <v>25900</v>
      </c>
      <c r="C23" s="1">
        <v>2500</v>
      </c>
      <c r="D23" s="2">
        <v>1.9E-2</v>
      </c>
      <c r="E23" s="2">
        <v>1.9E-2</v>
      </c>
      <c r="F23" s="3">
        <v>3.7999999999999999E-2</v>
      </c>
      <c r="G23" s="3">
        <v>0.06</v>
      </c>
      <c r="H23" s="3">
        <v>0.06</v>
      </c>
      <c r="I23" s="1">
        <v>3</v>
      </c>
      <c r="J23" s="1">
        <v>0.25</v>
      </c>
      <c r="K23" s="1">
        <v>0.15</v>
      </c>
      <c r="L23" s="1">
        <v>60</v>
      </c>
      <c r="M23" s="1">
        <v>65</v>
      </c>
      <c r="N23" s="1">
        <v>70</v>
      </c>
      <c r="O23" s="1">
        <v>0</v>
      </c>
      <c r="P23" s="1">
        <v>0.75</v>
      </c>
      <c r="Q23" s="1">
        <v>253.64</v>
      </c>
      <c r="R23" s="3">
        <v>4.1000000000000002E-2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7">
        <v>0</v>
      </c>
      <c r="AC23" s="7">
        <v>0</v>
      </c>
    </row>
    <row r="24" spans="1:29" x14ac:dyDescent="0.25">
      <c r="A24" s="6">
        <v>1988</v>
      </c>
      <c r="B24" s="1">
        <v>26500</v>
      </c>
      <c r="C24" s="1">
        <v>2600</v>
      </c>
      <c r="D24" s="2">
        <v>0.02</v>
      </c>
      <c r="E24" s="2">
        <v>0.02</v>
      </c>
      <c r="F24" s="3">
        <v>0.04</v>
      </c>
      <c r="G24" s="3">
        <v>0.06</v>
      </c>
      <c r="H24" s="3">
        <v>0.06</v>
      </c>
      <c r="I24" s="1">
        <v>3</v>
      </c>
      <c r="J24" s="1">
        <v>0.25</v>
      </c>
      <c r="K24" s="1">
        <v>0.15</v>
      </c>
      <c r="L24" s="1">
        <v>60</v>
      </c>
      <c r="M24" s="1">
        <v>65</v>
      </c>
      <c r="N24" s="1">
        <v>70</v>
      </c>
      <c r="O24" s="1">
        <v>0</v>
      </c>
      <c r="P24" s="1">
        <v>0.75</v>
      </c>
      <c r="Q24" s="1">
        <v>264.04000000000002</v>
      </c>
      <c r="R24" s="3">
        <v>4.3999999999999997E-2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7">
        <v>0</v>
      </c>
      <c r="AC24" s="7">
        <v>0</v>
      </c>
    </row>
    <row r="25" spans="1:29" x14ac:dyDescent="0.25">
      <c r="A25" s="6">
        <v>1989</v>
      </c>
      <c r="B25" s="1">
        <v>27700</v>
      </c>
      <c r="C25" s="1">
        <v>2700</v>
      </c>
      <c r="D25" s="2">
        <v>2.1000000000000001E-2</v>
      </c>
      <c r="E25" s="2">
        <v>2.1000000000000001E-2</v>
      </c>
      <c r="F25" s="3">
        <v>4.2000000000000003E-2</v>
      </c>
      <c r="G25" s="3">
        <v>0.06</v>
      </c>
      <c r="H25" s="3">
        <v>0.06</v>
      </c>
      <c r="I25" s="1">
        <v>3</v>
      </c>
      <c r="J25" s="1">
        <v>0.25</v>
      </c>
      <c r="K25" s="1">
        <v>0.15</v>
      </c>
      <c r="L25" s="1">
        <v>60</v>
      </c>
      <c r="M25" s="1">
        <v>65</v>
      </c>
      <c r="N25" s="1">
        <v>70</v>
      </c>
      <c r="O25" s="1">
        <v>0</v>
      </c>
      <c r="P25" s="1">
        <v>0.75</v>
      </c>
      <c r="Q25" s="1">
        <v>276.70999999999998</v>
      </c>
      <c r="R25" s="3">
        <v>4.1000000000000002E-2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7">
        <v>0</v>
      </c>
      <c r="AC25" s="7">
        <v>0</v>
      </c>
    </row>
    <row r="26" spans="1:29" x14ac:dyDescent="0.25">
      <c r="A26" s="6">
        <v>1990</v>
      </c>
      <c r="B26" s="1">
        <v>28900</v>
      </c>
      <c r="C26" s="1">
        <v>2800</v>
      </c>
      <c r="D26" s="2">
        <v>2.1999999999999999E-2</v>
      </c>
      <c r="E26" s="2">
        <v>2.1999999999999999E-2</v>
      </c>
      <c r="F26" s="3">
        <v>4.3999999999999997E-2</v>
      </c>
      <c r="G26" s="3">
        <v>0.06</v>
      </c>
      <c r="H26" s="3">
        <v>0.06</v>
      </c>
      <c r="I26" s="1">
        <v>3</v>
      </c>
      <c r="J26" s="1">
        <v>0.25</v>
      </c>
      <c r="K26" s="1">
        <v>0.15</v>
      </c>
      <c r="L26" s="1">
        <v>60</v>
      </c>
      <c r="M26" s="1">
        <v>65</v>
      </c>
      <c r="N26" s="1">
        <v>70</v>
      </c>
      <c r="O26" s="1">
        <v>0</v>
      </c>
      <c r="P26" s="1">
        <v>0.75</v>
      </c>
      <c r="Q26" s="1">
        <v>289.99</v>
      </c>
      <c r="R26" s="3">
        <v>4.8000000000000001E-2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7">
        <v>0</v>
      </c>
      <c r="AC26" s="7">
        <v>0</v>
      </c>
    </row>
    <row r="27" spans="1:29" x14ac:dyDescent="0.25">
      <c r="A27" s="6">
        <v>1991</v>
      </c>
      <c r="B27" s="1">
        <v>30500</v>
      </c>
      <c r="C27" s="1">
        <v>3000</v>
      </c>
      <c r="D27" s="2">
        <v>2.3E-2</v>
      </c>
      <c r="E27" s="2">
        <v>2.3E-2</v>
      </c>
      <c r="F27" s="3">
        <v>4.5999999999999999E-2</v>
      </c>
      <c r="G27" s="3">
        <v>0.06</v>
      </c>
      <c r="H27" s="3">
        <v>0.06</v>
      </c>
      <c r="I27" s="1">
        <v>3</v>
      </c>
      <c r="J27" s="1">
        <v>0.25</v>
      </c>
      <c r="K27" s="1">
        <v>0.15</v>
      </c>
      <c r="L27" s="1">
        <v>60</v>
      </c>
      <c r="M27" s="1">
        <v>65</v>
      </c>
      <c r="N27" s="1">
        <v>70</v>
      </c>
      <c r="O27" s="1">
        <v>0</v>
      </c>
      <c r="P27" s="1">
        <v>0.75</v>
      </c>
      <c r="Q27" s="1">
        <v>306.81</v>
      </c>
      <c r="R27" s="3">
        <v>4.8000000000000001E-2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7">
        <v>0</v>
      </c>
      <c r="AC27" s="7">
        <v>0</v>
      </c>
    </row>
    <row r="28" spans="1:29" x14ac:dyDescent="0.25">
      <c r="A28" s="6">
        <v>1992</v>
      </c>
      <c r="B28" s="1">
        <v>32200</v>
      </c>
      <c r="C28" s="1">
        <v>3200</v>
      </c>
      <c r="D28" s="2">
        <v>2.4E-2</v>
      </c>
      <c r="E28" s="2">
        <v>2.4E-2</v>
      </c>
      <c r="F28" s="3">
        <v>4.8000000000000001E-2</v>
      </c>
      <c r="G28" s="3">
        <v>0.06</v>
      </c>
      <c r="H28" s="3">
        <v>0.06</v>
      </c>
      <c r="I28" s="1">
        <v>3</v>
      </c>
      <c r="J28" s="1">
        <v>0.25</v>
      </c>
      <c r="K28" s="1">
        <v>0.15</v>
      </c>
      <c r="L28" s="1">
        <v>60</v>
      </c>
      <c r="M28" s="1">
        <v>65</v>
      </c>
      <c r="N28" s="1">
        <v>70</v>
      </c>
      <c r="O28" s="1">
        <v>0</v>
      </c>
      <c r="P28" s="1">
        <v>0.75</v>
      </c>
      <c r="Q28" s="1">
        <v>312.33</v>
      </c>
      <c r="R28" s="3">
        <v>5.8000000000000003E-2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7">
        <v>0</v>
      </c>
      <c r="AC28" s="7">
        <v>0</v>
      </c>
    </row>
    <row r="29" spans="1:29" x14ac:dyDescent="0.25">
      <c r="A29" s="6">
        <v>1993</v>
      </c>
      <c r="B29" s="1">
        <v>33400</v>
      </c>
      <c r="C29" s="1">
        <v>3300</v>
      </c>
      <c r="D29" s="2">
        <v>2.5000000000000001E-2</v>
      </c>
      <c r="E29" s="2">
        <v>2.5000000000000001E-2</v>
      </c>
      <c r="F29" s="3">
        <v>0.05</v>
      </c>
      <c r="G29" s="3">
        <v>0.06</v>
      </c>
      <c r="H29" s="3">
        <v>0.06</v>
      </c>
      <c r="I29" s="1">
        <v>3</v>
      </c>
      <c r="J29" s="1">
        <v>0.25</v>
      </c>
      <c r="K29" s="1">
        <v>0.15</v>
      </c>
      <c r="L29" s="1">
        <v>60</v>
      </c>
      <c r="M29" s="1">
        <v>65</v>
      </c>
      <c r="N29" s="1">
        <v>70</v>
      </c>
      <c r="O29" s="1">
        <v>0</v>
      </c>
      <c r="P29" s="1">
        <v>0.75</v>
      </c>
      <c r="Q29" s="1">
        <v>318.26</v>
      </c>
      <c r="R29" s="3">
        <v>1.7999999999999999E-2</v>
      </c>
      <c r="S29" s="4">
        <v>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7">
        <v>0</v>
      </c>
      <c r="AC29" s="7">
        <v>0</v>
      </c>
    </row>
    <row r="30" spans="1:29" x14ac:dyDescent="0.25">
      <c r="A30" s="6">
        <v>1994</v>
      </c>
      <c r="B30" s="1">
        <v>34400</v>
      </c>
      <c r="C30" s="1">
        <v>3400</v>
      </c>
      <c r="D30" s="2">
        <v>2.5999999999999999E-2</v>
      </c>
      <c r="E30" s="2">
        <v>2.5999999999999999E-2</v>
      </c>
      <c r="F30" s="3">
        <v>5.1999999999999998E-2</v>
      </c>
      <c r="G30" s="3">
        <v>0.06</v>
      </c>
      <c r="H30" s="3">
        <v>0.06</v>
      </c>
      <c r="I30" s="1">
        <v>3</v>
      </c>
      <c r="J30" s="1">
        <v>0.25</v>
      </c>
      <c r="K30" s="1">
        <v>0.15</v>
      </c>
      <c r="L30" s="1">
        <v>60</v>
      </c>
      <c r="M30" s="1">
        <v>65</v>
      </c>
      <c r="N30" s="1">
        <v>70</v>
      </c>
      <c r="O30" s="1">
        <v>0</v>
      </c>
      <c r="P30" s="1">
        <v>0.75</v>
      </c>
      <c r="Q30" s="1">
        <v>318.26</v>
      </c>
      <c r="R30" s="3">
        <v>1.9E-2</v>
      </c>
      <c r="S30" s="4">
        <v>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7">
        <v>0</v>
      </c>
      <c r="AC30" s="7">
        <v>0</v>
      </c>
    </row>
    <row r="31" spans="1:29" x14ac:dyDescent="0.25">
      <c r="A31" s="6">
        <v>1995</v>
      </c>
      <c r="B31" s="1">
        <v>34900</v>
      </c>
      <c r="C31" s="1">
        <v>3400</v>
      </c>
      <c r="D31" s="2">
        <v>2.7E-2</v>
      </c>
      <c r="E31" s="2">
        <v>2.7E-2</v>
      </c>
      <c r="F31" s="3">
        <v>5.3999999999999999E-2</v>
      </c>
      <c r="G31" s="3">
        <v>0.06</v>
      </c>
      <c r="H31" s="3">
        <v>0.06</v>
      </c>
      <c r="I31" s="1">
        <v>3</v>
      </c>
      <c r="J31" s="1">
        <v>0.25</v>
      </c>
      <c r="K31" s="1">
        <v>0.15</v>
      </c>
      <c r="L31" s="1">
        <v>60</v>
      </c>
      <c r="M31" s="1">
        <v>65</v>
      </c>
      <c r="N31" s="1">
        <v>70</v>
      </c>
      <c r="O31" s="1">
        <v>0</v>
      </c>
      <c r="P31" s="1">
        <v>0.75</v>
      </c>
      <c r="Q31" s="1">
        <v>325.58</v>
      </c>
      <c r="R31" s="3">
        <v>5.0000000000000001E-3</v>
      </c>
      <c r="S31" s="4">
        <v>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7">
        <v>0</v>
      </c>
      <c r="AC31" s="7">
        <v>0</v>
      </c>
    </row>
    <row r="32" spans="1:29" x14ac:dyDescent="0.25">
      <c r="A32" s="6">
        <v>1996</v>
      </c>
      <c r="B32" s="1">
        <v>35400</v>
      </c>
      <c r="C32" s="1">
        <v>3500</v>
      </c>
      <c r="D32" s="2">
        <v>2.8000000000000001E-2</v>
      </c>
      <c r="E32" s="2">
        <v>2.8000000000000001E-2</v>
      </c>
      <c r="F32" s="3">
        <v>5.6000000000000001E-2</v>
      </c>
      <c r="G32" s="3">
        <v>0.06</v>
      </c>
      <c r="H32" s="3">
        <v>0.06</v>
      </c>
      <c r="I32" s="1">
        <v>3</v>
      </c>
      <c r="J32" s="1">
        <v>0.25</v>
      </c>
      <c r="K32" s="1">
        <v>0.15</v>
      </c>
      <c r="L32" s="1">
        <v>60</v>
      </c>
      <c r="M32" s="1">
        <v>65</v>
      </c>
      <c r="N32" s="1">
        <v>70</v>
      </c>
      <c r="O32" s="1">
        <v>0</v>
      </c>
      <c r="P32" s="1">
        <v>0.75</v>
      </c>
      <c r="Q32" s="1">
        <v>330.46</v>
      </c>
      <c r="R32" s="3">
        <v>1.7999999999999999E-2</v>
      </c>
      <c r="S32" s="4">
        <v>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7">
        <v>0</v>
      </c>
      <c r="AC32" s="7">
        <v>0</v>
      </c>
    </row>
    <row r="33" spans="1:29" x14ac:dyDescent="0.25">
      <c r="A33" s="6">
        <v>1997</v>
      </c>
      <c r="B33" s="1">
        <v>35800</v>
      </c>
      <c r="C33" s="1">
        <v>3500</v>
      </c>
      <c r="D33" s="2">
        <v>0.03</v>
      </c>
      <c r="E33" s="2">
        <v>0.03</v>
      </c>
      <c r="F33" s="3">
        <v>0.06</v>
      </c>
      <c r="G33" s="3">
        <v>0.06</v>
      </c>
      <c r="H33" s="3">
        <v>0.06</v>
      </c>
      <c r="I33" s="1">
        <v>3</v>
      </c>
      <c r="J33" s="1">
        <v>0.25</v>
      </c>
      <c r="K33" s="1">
        <v>0.15</v>
      </c>
      <c r="L33" s="1">
        <v>60</v>
      </c>
      <c r="M33" s="1">
        <v>65</v>
      </c>
      <c r="N33" s="1">
        <v>70</v>
      </c>
      <c r="O33" s="1">
        <v>0</v>
      </c>
      <c r="P33" s="1">
        <v>0.75</v>
      </c>
      <c r="Q33" s="1">
        <v>336.74</v>
      </c>
      <c r="R33" s="3">
        <v>1.4999999999999999E-2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7">
        <v>0</v>
      </c>
      <c r="AC33" s="7">
        <v>0</v>
      </c>
    </row>
    <row r="34" spans="1:29" x14ac:dyDescent="0.25">
      <c r="A34" s="6">
        <v>1998</v>
      </c>
      <c r="B34" s="1">
        <v>36900</v>
      </c>
      <c r="C34" s="1">
        <v>3500</v>
      </c>
      <c r="D34" s="2">
        <v>3.2000000000000001E-2</v>
      </c>
      <c r="E34" s="2">
        <v>3.2000000000000001E-2</v>
      </c>
      <c r="F34" s="3">
        <v>6.4000000000000001E-2</v>
      </c>
      <c r="G34" s="3">
        <v>0.06</v>
      </c>
      <c r="H34" s="3">
        <v>0.06</v>
      </c>
      <c r="I34" s="1">
        <v>4</v>
      </c>
      <c r="J34" s="1">
        <v>0.25</v>
      </c>
      <c r="K34" s="1">
        <v>0.15</v>
      </c>
      <c r="L34" s="1">
        <v>60</v>
      </c>
      <c r="M34" s="1">
        <v>65</v>
      </c>
      <c r="N34" s="1">
        <v>70</v>
      </c>
      <c r="O34" s="1">
        <v>0</v>
      </c>
      <c r="P34" s="1">
        <v>0.75</v>
      </c>
      <c r="Q34" s="1">
        <v>339.77</v>
      </c>
      <c r="R34" s="3">
        <v>1.9E-2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7">
        <v>0</v>
      </c>
      <c r="AC34" s="7">
        <v>0</v>
      </c>
    </row>
    <row r="35" spans="1:29" x14ac:dyDescent="0.25">
      <c r="A35" s="6">
        <v>1999</v>
      </c>
      <c r="B35" s="1">
        <v>37400</v>
      </c>
      <c r="C35" s="1">
        <v>3500</v>
      </c>
      <c r="D35" s="2">
        <v>3.5000000000000003E-2</v>
      </c>
      <c r="E35" s="2">
        <v>3.5000000000000003E-2</v>
      </c>
      <c r="F35" s="3">
        <v>7.0000000000000007E-2</v>
      </c>
      <c r="G35" s="3">
        <v>0.06</v>
      </c>
      <c r="H35" s="3">
        <v>0.06</v>
      </c>
      <c r="I35" s="1">
        <v>5</v>
      </c>
      <c r="J35" s="1">
        <v>0.25</v>
      </c>
      <c r="K35" s="1">
        <v>0.15</v>
      </c>
      <c r="L35" s="1">
        <v>60</v>
      </c>
      <c r="M35" s="1">
        <v>65</v>
      </c>
      <c r="N35" s="1">
        <v>70</v>
      </c>
      <c r="O35" s="1">
        <v>0</v>
      </c>
      <c r="P35" s="1">
        <v>0.75</v>
      </c>
      <c r="Q35" s="1">
        <v>345.21</v>
      </c>
      <c r="R35" s="3">
        <v>8.9999999999999993E-3</v>
      </c>
      <c r="S35" s="4">
        <v>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7">
        <v>0</v>
      </c>
      <c r="AC35" s="7">
        <v>0</v>
      </c>
    </row>
    <row r="36" spans="1:29" x14ac:dyDescent="0.25">
      <c r="A36" s="6">
        <v>2000</v>
      </c>
      <c r="B36" s="1">
        <v>37600</v>
      </c>
      <c r="C36" s="1">
        <v>3500</v>
      </c>
      <c r="D36" s="2">
        <v>3.9E-2</v>
      </c>
      <c r="E36" s="2">
        <v>3.9E-2</v>
      </c>
      <c r="F36" s="3">
        <v>7.8E-2</v>
      </c>
      <c r="G36" s="3">
        <v>0.06</v>
      </c>
      <c r="H36" s="3">
        <v>0.06</v>
      </c>
      <c r="I36" s="1">
        <v>5</v>
      </c>
      <c r="J36" s="1">
        <v>0.25</v>
      </c>
      <c r="K36" s="1">
        <v>0.15</v>
      </c>
      <c r="L36" s="1">
        <v>60</v>
      </c>
      <c r="M36" s="1">
        <v>65</v>
      </c>
      <c r="N36" s="1">
        <v>70</v>
      </c>
      <c r="O36" s="1">
        <v>0</v>
      </c>
      <c r="P36" s="1">
        <v>0.75</v>
      </c>
      <c r="Q36" s="1">
        <v>353.84</v>
      </c>
      <c r="R36" s="3">
        <v>1.6E-2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7">
        <v>0</v>
      </c>
      <c r="AC36" s="7">
        <v>0</v>
      </c>
    </row>
    <row r="37" spans="1:29" x14ac:dyDescent="0.25">
      <c r="A37" s="6">
        <v>2001</v>
      </c>
      <c r="B37" s="1">
        <v>38300</v>
      </c>
      <c r="C37" s="1">
        <v>3500</v>
      </c>
      <c r="D37" s="2">
        <v>4.2999999999999997E-2</v>
      </c>
      <c r="E37" s="2">
        <v>4.2999999999999997E-2</v>
      </c>
      <c r="F37" s="3">
        <v>8.5999999999999993E-2</v>
      </c>
      <c r="G37" s="3">
        <v>0.06</v>
      </c>
      <c r="H37" s="3">
        <v>0.06</v>
      </c>
      <c r="I37" s="1">
        <v>5</v>
      </c>
      <c r="J37" s="1">
        <v>0.25</v>
      </c>
      <c r="K37" s="1">
        <v>0.15</v>
      </c>
      <c r="L37" s="1">
        <v>60</v>
      </c>
      <c r="M37" s="1">
        <v>65</v>
      </c>
      <c r="N37" s="1">
        <v>70</v>
      </c>
      <c r="O37" s="1">
        <v>0</v>
      </c>
      <c r="P37" s="1">
        <v>0.75</v>
      </c>
      <c r="Q37" s="1">
        <v>364.46</v>
      </c>
      <c r="R37" s="3">
        <v>2.5000000000000001E-2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7">
        <v>0</v>
      </c>
      <c r="AC37" s="7">
        <v>0</v>
      </c>
    </row>
    <row r="38" spans="1:29" x14ac:dyDescent="0.25">
      <c r="A38" s="6">
        <v>2002</v>
      </c>
      <c r="B38" s="1">
        <v>39100</v>
      </c>
      <c r="C38" s="1">
        <v>3500</v>
      </c>
      <c r="D38" s="2">
        <v>4.7E-2</v>
      </c>
      <c r="E38" s="2">
        <v>4.7E-2</v>
      </c>
      <c r="F38" s="3">
        <v>9.4E-2</v>
      </c>
      <c r="G38" s="3">
        <v>0.06</v>
      </c>
      <c r="H38" s="3">
        <v>0.06</v>
      </c>
      <c r="I38" s="1">
        <v>5</v>
      </c>
      <c r="J38" s="1">
        <v>0.25</v>
      </c>
      <c r="K38" s="1">
        <v>0.15</v>
      </c>
      <c r="L38" s="1">
        <v>60</v>
      </c>
      <c r="M38" s="1">
        <v>65</v>
      </c>
      <c r="N38" s="1">
        <v>70</v>
      </c>
      <c r="O38" s="1">
        <v>0</v>
      </c>
      <c r="P38" s="1">
        <v>0.75</v>
      </c>
      <c r="Q38" s="1">
        <v>370.29</v>
      </c>
      <c r="R38" s="3">
        <v>0.03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7">
        <v>0</v>
      </c>
      <c r="AC38" s="7">
        <v>0</v>
      </c>
    </row>
    <row r="39" spans="1:29" x14ac:dyDescent="0.25">
      <c r="A39" s="6">
        <v>2003</v>
      </c>
      <c r="B39" s="1">
        <v>39900</v>
      </c>
      <c r="C39" s="1">
        <v>3500</v>
      </c>
      <c r="D39" s="2">
        <v>4.9500000000000002E-2</v>
      </c>
      <c r="E39" s="2">
        <v>4.9500000000000002E-2</v>
      </c>
      <c r="F39" s="3">
        <v>9.9000000000000005E-2</v>
      </c>
      <c r="G39" s="3">
        <v>0.06</v>
      </c>
      <c r="H39" s="3">
        <v>0.06</v>
      </c>
      <c r="I39" s="1">
        <v>5</v>
      </c>
      <c r="J39" s="1">
        <v>0.25</v>
      </c>
      <c r="K39" s="1">
        <v>0.15</v>
      </c>
      <c r="L39" s="1">
        <v>60</v>
      </c>
      <c r="M39" s="1">
        <v>65</v>
      </c>
      <c r="N39" s="1">
        <v>70</v>
      </c>
      <c r="O39" s="1">
        <v>0</v>
      </c>
      <c r="P39" s="1">
        <v>0.75</v>
      </c>
      <c r="Q39" s="1">
        <v>382.14</v>
      </c>
      <c r="R39" s="3">
        <v>1.6E-2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7">
        <v>0</v>
      </c>
      <c r="AC39" s="7">
        <v>0</v>
      </c>
    </row>
    <row r="40" spans="1:29" x14ac:dyDescent="0.25">
      <c r="A40" s="6">
        <v>2004</v>
      </c>
      <c r="B40" s="1">
        <v>40500</v>
      </c>
      <c r="C40" s="1">
        <v>3500</v>
      </c>
      <c r="D40" s="2">
        <v>4.9500000000000002E-2</v>
      </c>
      <c r="E40" s="2">
        <v>4.9500000000000002E-2</v>
      </c>
      <c r="F40" s="3">
        <v>9.9000000000000005E-2</v>
      </c>
      <c r="G40" s="3">
        <v>0.06</v>
      </c>
      <c r="H40" s="3">
        <v>0.06</v>
      </c>
      <c r="I40" s="1">
        <v>5</v>
      </c>
      <c r="J40" s="1">
        <v>0.25</v>
      </c>
      <c r="K40" s="1">
        <v>0.15</v>
      </c>
      <c r="L40" s="1">
        <v>60</v>
      </c>
      <c r="M40" s="1">
        <v>65</v>
      </c>
      <c r="N40" s="1">
        <v>70</v>
      </c>
      <c r="O40" s="1">
        <v>0</v>
      </c>
      <c r="P40" s="1">
        <v>0.75</v>
      </c>
      <c r="Q40" s="1">
        <v>388.64</v>
      </c>
      <c r="R40" s="3">
        <v>3.2000000000000001E-2</v>
      </c>
      <c r="S40" s="4">
        <v>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7">
        <v>0</v>
      </c>
      <c r="AC40" s="7">
        <v>0</v>
      </c>
    </row>
    <row r="41" spans="1:29" x14ac:dyDescent="0.25">
      <c r="A41" s="6">
        <v>2005</v>
      </c>
      <c r="B41" s="1">
        <v>41100</v>
      </c>
      <c r="C41" s="1">
        <v>3500</v>
      </c>
      <c r="D41" s="2">
        <v>4.9500000000000002E-2</v>
      </c>
      <c r="E41" s="2">
        <v>4.9500000000000002E-2</v>
      </c>
      <c r="F41" s="3">
        <v>9.9000000000000005E-2</v>
      </c>
      <c r="G41" s="3">
        <v>0.06</v>
      </c>
      <c r="H41" s="3">
        <v>0.06</v>
      </c>
      <c r="I41" s="1">
        <v>5</v>
      </c>
      <c r="J41" s="1">
        <v>0.25</v>
      </c>
      <c r="K41" s="1">
        <v>0.15</v>
      </c>
      <c r="L41" s="1">
        <v>60</v>
      </c>
      <c r="M41" s="1">
        <v>65</v>
      </c>
      <c r="N41" s="1">
        <v>70</v>
      </c>
      <c r="O41" s="1">
        <v>0</v>
      </c>
      <c r="P41" s="1">
        <v>0.75</v>
      </c>
      <c r="Q41" s="1">
        <v>397.58</v>
      </c>
      <c r="R41" s="3">
        <v>1.7000000000000001E-2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7">
        <v>0</v>
      </c>
      <c r="AC41" s="7">
        <v>0</v>
      </c>
    </row>
    <row r="42" spans="1:29" x14ac:dyDescent="0.25">
      <c r="A42" s="6">
        <v>2006</v>
      </c>
      <c r="B42" s="1">
        <v>42100</v>
      </c>
      <c r="C42" s="1">
        <v>3500</v>
      </c>
      <c r="D42" s="2">
        <v>4.9500000000000002E-2</v>
      </c>
      <c r="E42" s="2">
        <v>4.9500000000000002E-2</v>
      </c>
      <c r="F42" s="3">
        <v>9.9000000000000005E-2</v>
      </c>
      <c r="G42" s="3">
        <v>0.06</v>
      </c>
      <c r="H42" s="3">
        <v>0.06</v>
      </c>
      <c r="I42" s="1">
        <v>5</v>
      </c>
      <c r="J42" s="1">
        <v>0.25</v>
      </c>
      <c r="K42" s="1">
        <v>0.15</v>
      </c>
      <c r="L42" s="1">
        <v>60</v>
      </c>
      <c r="M42" s="1">
        <v>65</v>
      </c>
      <c r="N42" s="1">
        <v>70</v>
      </c>
      <c r="O42" s="1">
        <v>0</v>
      </c>
      <c r="P42" s="1">
        <v>0.75</v>
      </c>
      <c r="Q42" s="1">
        <v>405.93</v>
      </c>
      <c r="R42" s="3">
        <v>2.3E-2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7">
        <v>0</v>
      </c>
      <c r="AC42" s="7">
        <v>0</v>
      </c>
    </row>
    <row r="43" spans="1:29" x14ac:dyDescent="0.25">
      <c r="A43" s="6">
        <v>2007</v>
      </c>
      <c r="B43" s="1">
        <v>43700</v>
      </c>
      <c r="C43" s="1">
        <v>3500</v>
      </c>
      <c r="D43" s="2">
        <v>4.9500000000000002E-2</v>
      </c>
      <c r="E43" s="2">
        <v>4.9500000000000002E-2</v>
      </c>
      <c r="F43" s="3">
        <v>9.9000000000000005E-2</v>
      </c>
      <c r="G43" s="3">
        <v>0.06</v>
      </c>
      <c r="H43" s="3">
        <v>0.06</v>
      </c>
      <c r="I43" s="1">
        <v>5</v>
      </c>
      <c r="J43" s="1">
        <v>0.25</v>
      </c>
      <c r="K43" s="1">
        <v>0.15</v>
      </c>
      <c r="L43" s="1">
        <v>60</v>
      </c>
      <c r="M43" s="1">
        <v>65</v>
      </c>
      <c r="N43" s="1">
        <v>70</v>
      </c>
      <c r="O43" s="1">
        <v>0</v>
      </c>
      <c r="P43" s="1">
        <v>0.75</v>
      </c>
      <c r="Q43" s="1">
        <v>414.05</v>
      </c>
      <c r="R43" s="3">
        <v>2.1000000000000001E-2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7">
        <v>0</v>
      </c>
      <c r="AC43" s="7">
        <v>0</v>
      </c>
    </row>
    <row r="44" spans="1:29" x14ac:dyDescent="0.25">
      <c r="A44" s="6">
        <v>2008</v>
      </c>
      <c r="B44" s="1">
        <v>44900</v>
      </c>
      <c r="C44" s="1">
        <v>3500</v>
      </c>
      <c r="D44" s="2">
        <v>4.9500000000000002E-2</v>
      </c>
      <c r="E44" s="2">
        <v>4.9500000000000002E-2</v>
      </c>
      <c r="F44" s="3">
        <v>9.9000000000000005E-2</v>
      </c>
      <c r="G44" s="3">
        <v>0.06</v>
      </c>
      <c r="H44" s="3">
        <v>0.06</v>
      </c>
      <c r="I44" s="1">
        <v>5</v>
      </c>
      <c r="J44" s="1">
        <v>0.25</v>
      </c>
      <c r="K44" s="1">
        <v>0.15</v>
      </c>
      <c r="L44" s="1">
        <v>60</v>
      </c>
      <c r="M44" s="1">
        <v>65</v>
      </c>
      <c r="N44" s="1">
        <v>70</v>
      </c>
      <c r="O44" s="1">
        <v>0</v>
      </c>
      <c r="P44" s="1">
        <v>0.75</v>
      </c>
      <c r="Q44" s="1">
        <v>424.4</v>
      </c>
      <c r="R44" s="3">
        <v>0.02</v>
      </c>
      <c r="S44" s="4">
        <v>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7">
        <v>0</v>
      </c>
      <c r="AC44" s="7">
        <v>0</v>
      </c>
    </row>
    <row r="45" spans="1:29" x14ac:dyDescent="0.25">
      <c r="A45" s="6">
        <v>2009</v>
      </c>
      <c r="B45" s="1">
        <v>46300</v>
      </c>
      <c r="C45" s="1">
        <v>3500</v>
      </c>
      <c r="D45" s="2">
        <v>4.9500000000000002E-2</v>
      </c>
      <c r="E45" s="2">
        <v>4.9500000000000002E-2</v>
      </c>
      <c r="F45" s="3">
        <v>9.9000000000000005E-2</v>
      </c>
      <c r="G45" s="3">
        <v>0.06</v>
      </c>
      <c r="H45" s="3">
        <v>0.06</v>
      </c>
      <c r="I45" s="1">
        <v>5</v>
      </c>
      <c r="J45" s="1">
        <v>0.25</v>
      </c>
      <c r="K45" s="1">
        <v>0.15</v>
      </c>
      <c r="L45" s="1">
        <v>60</v>
      </c>
      <c r="M45" s="1">
        <v>65</v>
      </c>
      <c r="N45" s="1">
        <v>70</v>
      </c>
      <c r="O45" s="1">
        <v>0</v>
      </c>
      <c r="P45" s="1">
        <v>0.75</v>
      </c>
      <c r="Q45" s="1">
        <v>426.1</v>
      </c>
      <c r="R45" s="3">
        <v>2.5000000000000001E-2</v>
      </c>
      <c r="S45" s="4">
        <v>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7">
        <v>0</v>
      </c>
      <c r="AC45" s="7">
        <v>0</v>
      </c>
    </row>
    <row r="46" spans="1:29" x14ac:dyDescent="0.25">
      <c r="A46" s="6">
        <v>2010</v>
      </c>
      <c r="B46" s="1">
        <v>47200</v>
      </c>
      <c r="C46" s="1">
        <v>3500</v>
      </c>
      <c r="D46" s="2">
        <v>4.9500000000000002E-2</v>
      </c>
      <c r="E46" s="2">
        <v>4.9500000000000002E-2</v>
      </c>
      <c r="F46" s="3">
        <v>9.9000000000000005E-2</v>
      </c>
      <c r="G46" s="3">
        <v>0.06</v>
      </c>
      <c r="H46" s="3">
        <v>0.06</v>
      </c>
      <c r="I46" s="1">
        <v>5</v>
      </c>
      <c r="J46" s="1">
        <v>0.25</v>
      </c>
      <c r="K46" s="1">
        <v>0.15</v>
      </c>
      <c r="L46" s="1">
        <v>60</v>
      </c>
      <c r="M46" s="1">
        <v>65</v>
      </c>
      <c r="N46" s="1">
        <v>70</v>
      </c>
      <c r="O46" s="1">
        <v>0</v>
      </c>
      <c r="P46" s="1">
        <v>0.75</v>
      </c>
      <c r="Q46" s="1">
        <v>433.34</v>
      </c>
      <c r="R46" s="3">
        <v>4.0000000000000001E-3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7">
        <v>0</v>
      </c>
      <c r="AC46" s="7">
        <v>0</v>
      </c>
    </row>
    <row r="47" spans="1:29" x14ac:dyDescent="0.25">
      <c r="A47" s="6">
        <v>2011</v>
      </c>
      <c r="B47" s="1">
        <v>48300</v>
      </c>
      <c r="C47" s="1">
        <v>3500</v>
      </c>
      <c r="D47" s="2">
        <v>4.9500000000000002E-2</v>
      </c>
      <c r="E47" s="2">
        <v>4.9500000000000002E-2</v>
      </c>
      <c r="F47" s="3">
        <v>9.9000000000000005E-2</v>
      </c>
      <c r="G47" s="3">
        <v>0.06</v>
      </c>
      <c r="H47" s="3">
        <v>6.8400000000000002E-2</v>
      </c>
      <c r="I47" s="1">
        <v>5</v>
      </c>
      <c r="J47" s="1">
        <v>0.25</v>
      </c>
      <c r="K47" s="1">
        <v>0.15</v>
      </c>
      <c r="L47" s="1">
        <v>60</v>
      </c>
      <c r="M47" s="1">
        <v>65</v>
      </c>
      <c r="N47" s="1">
        <v>70</v>
      </c>
      <c r="O47" s="1">
        <v>0</v>
      </c>
      <c r="P47" s="1">
        <v>0.75</v>
      </c>
      <c r="Q47" s="1">
        <v>445.47</v>
      </c>
      <c r="R47" s="3">
        <v>1.7000000000000001E-2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7">
        <v>0</v>
      </c>
      <c r="AC47" s="7">
        <v>0</v>
      </c>
    </row>
    <row r="48" spans="1:29" x14ac:dyDescent="0.25">
      <c r="A48" s="6">
        <v>2012</v>
      </c>
      <c r="B48" s="1">
        <v>50100</v>
      </c>
      <c r="C48" s="1">
        <v>3500</v>
      </c>
      <c r="D48" s="2">
        <v>4.9500000000000002E-2</v>
      </c>
      <c r="E48" s="2">
        <v>4.9500000000000002E-2</v>
      </c>
      <c r="F48" s="3">
        <v>9.9000000000000005E-2</v>
      </c>
      <c r="G48" s="3">
        <v>6.2399999999999997E-2</v>
      </c>
      <c r="H48" s="3">
        <v>7.6799999999999993E-2</v>
      </c>
      <c r="I48" s="1">
        <v>5</v>
      </c>
      <c r="J48" s="1">
        <v>0.25</v>
      </c>
      <c r="K48" s="1">
        <v>0.16</v>
      </c>
      <c r="L48" s="1">
        <v>60</v>
      </c>
      <c r="M48" s="1">
        <v>65</v>
      </c>
      <c r="N48" s="1">
        <v>70</v>
      </c>
      <c r="O48" s="1">
        <v>0</v>
      </c>
      <c r="P48" s="1">
        <v>0.75</v>
      </c>
      <c r="Q48" s="1">
        <v>453.49</v>
      </c>
      <c r="R48" s="3">
        <v>2.8000000000000001E-2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7">
        <v>0</v>
      </c>
      <c r="AC48" s="7">
        <v>0</v>
      </c>
    </row>
    <row r="49" spans="1:29" x14ac:dyDescent="0.25">
      <c r="A49" s="6">
        <v>2013</v>
      </c>
      <c r="B49" s="1">
        <v>51100</v>
      </c>
      <c r="C49" s="1">
        <v>3500</v>
      </c>
      <c r="D49" s="2">
        <v>4.9500000000000002E-2</v>
      </c>
      <c r="E49" s="2">
        <v>4.9500000000000002E-2</v>
      </c>
      <c r="F49" s="3">
        <v>9.9000000000000005E-2</v>
      </c>
      <c r="G49" s="3">
        <v>6.4799999999999996E-2</v>
      </c>
      <c r="H49" s="3">
        <v>8.4000000000000005E-2</v>
      </c>
      <c r="I49" s="1">
        <v>5</v>
      </c>
      <c r="J49" s="1">
        <v>0.25</v>
      </c>
      <c r="K49" s="1">
        <v>0.16</v>
      </c>
      <c r="L49" s="1">
        <v>60</v>
      </c>
      <c r="M49" s="1">
        <v>65</v>
      </c>
      <c r="N49" s="1">
        <v>70</v>
      </c>
      <c r="O49" s="2">
        <v>6.2500000000000003E-3</v>
      </c>
      <c r="P49" s="1">
        <v>0.75</v>
      </c>
      <c r="Q49" s="1">
        <v>457.57</v>
      </c>
      <c r="R49" s="3">
        <v>1.7999999999999999E-2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7">
        <v>0</v>
      </c>
      <c r="AC49" s="7">
        <v>0</v>
      </c>
    </row>
    <row r="50" spans="1:29" x14ac:dyDescent="0.25">
      <c r="A50" s="6">
        <v>2014</v>
      </c>
      <c r="B50" s="1">
        <v>52500</v>
      </c>
      <c r="C50" s="1">
        <v>3500</v>
      </c>
      <c r="D50" s="2">
        <v>4.9500000000000002E-2</v>
      </c>
      <c r="E50" s="2">
        <v>4.9500000000000002E-2</v>
      </c>
      <c r="F50" s="3">
        <v>9.9000000000000005E-2</v>
      </c>
      <c r="G50" s="3">
        <v>6.7199999999999996E-2</v>
      </c>
      <c r="H50" s="3">
        <v>8.4000000000000005E-2</v>
      </c>
      <c r="I50" s="1">
        <v>5</v>
      </c>
      <c r="J50" s="1">
        <v>0.25</v>
      </c>
      <c r="K50" s="1">
        <v>0.17</v>
      </c>
      <c r="L50" s="1">
        <v>60</v>
      </c>
      <c r="M50" s="1">
        <v>65</v>
      </c>
      <c r="N50" s="1">
        <v>70</v>
      </c>
      <c r="O50" s="2">
        <v>6.2500000000000003E-3</v>
      </c>
      <c r="P50" s="1">
        <v>0.75</v>
      </c>
      <c r="Q50" s="1">
        <v>465.81</v>
      </c>
      <c r="R50" s="3">
        <v>8.9999999999999993E-3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7">
        <v>0</v>
      </c>
      <c r="AC50" s="7">
        <v>0</v>
      </c>
    </row>
    <row r="51" spans="1:29" x14ac:dyDescent="0.25">
      <c r="A51" s="6">
        <v>2015</v>
      </c>
      <c r="B51" s="1">
        <v>53600</v>
      </c>
      <c r="C51" s="1">
        <v>3500</v>
      </c>
      <c r="D51" s="2">
        <v>4.9500000000000002E-2</v>
      </c>
      <c r="E51" s="2">
        <v>4.9500000000000002E-2</v>
      </c>
      <c r="F51" s="3">
        <v>9.9000000000000005E-2</v>
      </c>
      <c r="G51" s="3">
        <v>6.9599999999999995E-2</v>
      </c>
      <c r="H51" s="3">
        <v>8.4000000000000005E-2</v>
      </c>
      <c r="I51" s="1">
        <v>5</v>
      </c>
      <c r="J51" s="1">
        <v>0.25</v>
      </c>
      <c r="K51" s="1">
        <v>0.17</v>
      </c>
      <c r="L51" s="1">
        <v>60</v>
      </c>
      <c r="M51" s="1">
        <v>65</v>
      </c>
      <c r="N51" s="1">
        <v>70</v>
      </c>
      <c r="O51" s="2">
        <v>6.2500000000000003E-3</v>
      </c>
      <c r="P51" s="1">
        <v>0.75</v>
      </c>
      <c r="Q51" s="1">
        <v>471.4</v>
      </c>
      <c r="R51" s="3">
        <v>1.7999999999999999E-2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7">
        <v>0</v>
      </c>
      <c r="AC51" s="7">
        <v>0</v>
      </c>
    </row>
    <row r="52" spans="1:29" x14ac:dyDescent="0.25">
      <c r="A52" s="6">
        <v>2016</v>
      </c>
      <c r="B52" s="1">
        <v>54900</v>
      </c>
      <c r="C52" s="1">
        <v>3500</v>
      </c>
      <c r="D52" s="2">
        <v>4.9500000000000002E-2</v>
      </c>
      <c r="E52" s="2">
        <v>4.9500000000000002E-2</v>
      </c>
      <c r="F52" s="3">
        <v>9.9000000000000005E-2</v>
      </c>
      <c r="G52" s="3">
        <v>7.1999999999999995E-2</v>
      </c>
      <c r="H52" s="3">
        <v>8.4000000000000005E-2</v>
      </c>
      <c r="I52" s="1">
        <v>5</v>
      </c>
      <c r="J52" s="1">
        <v>0.25</v>
      </c>
      <c r="K52" s="1">
        <v>0.17</v>
      </c>
      <c r="L52" s="1">
        <v>60</v>
      </c>
      <c r="M52" s="1">
        <v>65</v>
      </c>
      <c r="N52" s="1">
        <v>70</v>
      </c>
      <c r="O52" s="2">
        <v>6.2500000000000003E-3</v>
      </c>
      <c r="P52" s="1">
        <v>0.75</v>
      </c>
      <c r="Q52" s="1">
        <v>471.4</v>
      </c>
      <c r="R52" s="3">
        <v>1.2E-2</v>
      </c>
      <c r="S52" s="4">
        <v>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7">
        <v>0</v>
      </c>
      <c r="AC52" s="7">
        <v>0</v>
      </c>
    </row>
    <row r="53" spans="1:29" x14ac:dyDescent="0.25">
      <c r="A53" s="6">
        <v>2017</v>
      </c>
      <c r="B53" s="1">
        <v>55300</v>
      </c>
      <c r="C53" s="1">
        <v>3500</v>
      </c>
      <c r="D53" s="2">
        <v>4.9500000000000002E-2</v>
      </c>
      <c r="E53" s="2">
        <v>4.9500000000000002E-2</v>
      </c>
      <c r="F53" s="3">
        <v>9.9000000000000005E-2</v>
      </c>
      <c r="G53" s="3">
        <v>7.1999999999999995E-2</v>
      </c>
      <c r="H53" s="3">
        <v>8.4000000000000005E-2</v>
      </c>
      <c r="I53" s="1">
        <v>5</v>
      </c>
      <c r="J53" s="1">
        <v>0.25</v>
      </c>
      <c r="K53" s="1">
        <v>0.17</v>
      </c>
      <c r="L53" s="1">
        <v>60</v>
      </c>
      <c r="M53" s="1">
        <v>65</v>
      </c>
      <c r="N53" s="1">
        <v>70</v>
      </c>
      <c r="O53" s="2">
        <v>6.2500000000000003E-3</v>
      </c>
      <c r="P53" s="1">
        <v>0.75</v>
      </c>
      <c r="Q53" s="1">
        <v>478</v>
      </c>
      <c r="R53" s="3">
        <v>1.4E-2</v>
      </c>
      <c r="S53" s="4">
        <v>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7">
        <v>0</v>
      </c>
      <c r="AC53" s="7">
        <v>0</v>
      </c>
    </row>
    <row r="54" spans="1:29" x14ac:dyDescent="0.25">
      <c r="A54" s="6">
        <v>2018</v>
      </c>
      <c r="B54" s="1">
        <v>55900</v>
      </c>
      <c r="C54" s="1">
        <v>3500</v>
      </c>
      <c r="D54" s="2">
        <v>4.9500000000000002E-2</v>
      </c>
      <c r="E54" s="2">
        <v>4.9500000000000002E-2</v>
      </c>
      <c r="F54" s="3">
        <v>9.9000000000000005E-2</v>
      </c>
      <c r="G54" s="3">
        <v>7.1999999999999995E-2</v>
      </c>
      <c r="H54" s="3">
        <v>8.4000000000000005E-2</v>
      </c>
      <c r="I54" s="1">
        <v>5</v>
      </c>
      <c r="J54" s="1">
        <v>0.25</v>
      </c>
      <c r="K54" s="1">
        <v>0.17</v>
      </c>
      <c r="L54" s="1">
        <v>60</v>
      </c>
      <c r="M54" s="1">
        <v>65</v>
      </c>
      <c r="N54" s="1">
        <v>70</v>
      </c>
      <c r="O54" s="2">
        <v>6.2500000000000003E-3</v>
      </c>
      <c r="P54" s="1">
        <v>0.75</v>
      </c>
      <c r="Q54" s="1">
        <v>485.17</v>
      </c>
      <c r="R54" s="3">
        <v>1.4999999999999999E-2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7">
        <v>0</v>
      </c>
      <c r="AC54" s="7">
        <v>0</v>
      </c>
    </row>
    <row r="55" spans="1:29" x14ac:dyDescent="0.25">
      <c r="A55" s="6">
        <v>2019</v>
      </c>
      <c r="B55" s="1">
        <v>57400</v>
      </c>
      <c r="C55" s="1">
        <v>3500</v>
      </c>
      <c r="D55" s="2">
        <v>5.0999999999999997E-2</v>
      </c>
      <c r="E55" s="2">
        <f>D55</f>
        <v>5.0999999999999997E-2</v>
      </c>
      <c r="F55" s="3">
        <v>0.10199999999999999</v>
      </c>
      <c r="G55" s="3">
        <v>7.1999999999999995E-2</v>
      </c>
      <c r="H55" s="3">
        <v>8.4000000000000005E-2</v>
      </c>
      <c r="I55" s="1">
        <v>5</v>
      </c>
      <c r="J55" s="1">
        <v>0.25</v>
      </c>
      <c r="K55" s="1">
        <v>0.17</v>
      </c>
      <c r="L55" s="1">
        <v>60</v>
      </c>
      <c r="M55" s="1">
        <v>65</v>
      </c>
      <c r="N55" s="1">
        <v>70</v>
      </c>
      <c r="O55" s="2">
        <v>6.2500000000000003E-3</v>
      </c>
      <c r="P55" s="5">
        <v>0.75</v>
      </c>
      <c r="Q55" s="5">
        <v>496.36</v>
      </c>
      <c r="R55" s="5">
        <v>2.3E-2</v>
      </c>
      <c r="S55" s="4">
        <v>1</v>
      </c>
      <c r="T55" s="4">
        <v>1.5E-3</v>
      </c>
      <c r="U55" s="4">
        <v>1.5E-3</v>
      </c>
      <c r="V55" s="4">
        <v>0</v>
      </c>
      <c r="W55" s="4">
        <v>0</v>
      </c>
      <c r="X55" s="4">
        <v>3.0000000000000001E-3</v>
      </c>
      <c r="Y55" s="4">
        <v>0</v>
      </c>
      <c r="Z55" s="4">
        <v>8.3299999999999999E-2</v>
      </c>
      <c r="AA55" s="4">
        <v>0</v>
      </c>
      <c r="AB55" s="8">
        <v>2.0799999999999998E-3</v>
      </c>
      <c r="AC55" s="8">
        <v>8.3300000000000006E-3</v>
      </c>
    </row>
    <row r="56" spans="1:29" x14ac:dyDescent="0.25">
      <c r="A56" s="6">
        <v>2020</v>
      </c>
      <c r="B56" s="1">
        <v>58700</v>
      </c>
      <c r="C56" s="1">
        <v>3500</v>
      </c>
      <c r="D56" s="2">
        <v>5.2499999999999998E-2</v>
      </c>
      <c r="E56" s="2">
        <f>D56</f>
        <v>5.2499999999999998E-2</v>
      </c>
      <c r="F56" s="3">
        <v>0.105</v>
      </c>
      <c r="G56" s="3">
        <v>7.1999999999999995E-2</v>
      </c>
      <c r="H56" s="3">
        <v>8.4000000000000005E-2</v>
      </c>
      <c r="I56" s="1">
        <v>5</v>
      </c>
      <c r="J56" s="1">
        <v>0.25</v>
      </c>
      <c r="K56" s="1">
        <v>0.17</v>
      </c>
      <c r="L56" s="1">
        <v>60</v>
      </c>
      <c r="M56" s="1">
        <v>65</v>
      </c>
      <c r="N56" s="1">
        <v>70</v>
      </c>
      <c r="O56" s="2">
        <v>6.2500000000000003E-3</v>
      </c>
      <c r="P56" s="5">
        <v>0.75</v>
      </c>
      <c r="Q56" s="5">
        <v>505.79</v>
      </c>
      <c r="R56" s="5">
        <v>1.9E-2</v>
      </c>
      <c r="S56" s="4">
        <v>1</v>
      </c>
      <c r="T56" s="4">
        <v>3.0000000000000001E-3</v>
      </c>
      <c r="U56" s="4">
        <v>3.0000000000000001E-3</v>
      </c>
      <c r="V56" s="4">
        <v>0</v>
      </c>
      <c r="W56" s="4">
        <v>0</v>
      </c>
      <c r="X56" s="4">
        <v>6.0000000000000001E-3</v>
      </c>
      <c r="Y56" s="4">
        <v>0</v>
      </c>
      <c r="Z56" s="4">
        <v>8.3299999999999999E-2</v>
      </c>
      <c r="AA56" s="4">
        <v>0</v>
      </c>
      <c r="AB56" s="8">
        <v>2.0799999999999998E-3</v>
      </c>
      <c r="AC56" s="8">
        <v>8.3300000000000006E-3</v>
      </c>
    </row>
    <row r="57" spans="1:29" x14ac:dyDescent="0.25">
      <c r="A57" s="6">
        <v>2021</v>
      </c>
      <c r="B57" s="1">
        <v>61600</v>
      </c>
      <c r="C57" s="1">
        <v>3500</v>
      </c>
      <c r="D57" s="2">
        <v>5.45E-2</v>
      </c>
      <c r="E57" s="2">
        <f>D57</f>
        <v>5.45E-2</v>
      </c>
      <c r="F57" s="3">
        <v>0.109</v>
      </c>
      <c r="G57" s="3">
        <v>7.1999999999999995E-2</v>
      </c>
      <c r="H57" s="3">
        <v>8.4000000000000005E-2</v>
      </c>
      <c r="I57" s="1">
        <v>5</v>
      </c>
      <c r="J57" s="1">
        <v>0.25</v>
      </c>
      <c r="K57" s="1">
        <v>0.17</v>
      </c>
      <c r="L57" s="1">
        <v>60</v>
      </c>
      <c r="M57" s="1">
        <v>65</v>
      </c>
      <c r="N57" s="1">
        <v>70</v>
      </c>
      <c r="O57" s="2">
        <v>6.2500000000000003E-3</v>
      </c>
      <c r="P57" s="5">
        <v>0.75</v>
      </c>
      <c r="Q57" s="5">
        <v>510.85</v>
      </c>
      <c r="R57" s="5">
        <v>0.01</v>
      </c>
      <c r="S57" s="4">
        <v>1</v>
      </c>
      <c r="T57" s="4">
        <v>5.0000000000000001E-3</v>
      </c>
      <c r="U57" s="4">
        <v>5.0000000000000001E-3</v>
      </c>
      <c r="V57" s="4">
        <v>0</v>
      </c>
      <c r="W57" s="4">
        <v>0</v>
      </c>
      <c r="X57" s="4">
        <v>0.01</v>
      </c>
      <c r="Y57" s="4">
        <v>0</v>
      </c>
      <c r="Z57" s="4">
        <v>8.3299999999999999E-2</v>
      </c>
      <c r="AA57" s="4">
        <v>0</v>
      </c>
      <c r="AB57" s="8">
        <v>2.0799999999999998E-3</v>
      </c>
      <c r="AC57" s="8">
        <v>8.3300000000000006E-3</v>
      </c>
    </row>
    <row r="58" spans="1:29" x14ac:dyDescent="0.25">
      <c r="A58" s="6">
        <v>2022</v>
      </c>
      <c r="B58" s="1">
        <v>64900</v>
      </c>
      <c r="C58" s="1">
        <v>3500</v>
      </c>
      <c r="D58" s="2">
        <v>4.9500000000000002E-2</v>
      </c>
      <c r="E58" s="2">
        <v>4.9500000000000002E-2</v>
      </c>
      <c r="F58" s="3">
        <v>9.9000000000000005E-2</v>
      </c>
      <c r="G58" s="3">
        <v>7.1999999999999995E-2</v>
      </c>
      <c r="H58" s="3">
        <v>8.4000000000000005E-2</v>
      </c>
      <c r="I58" s="1">
        <v>5</v>
      </c>
      <c r="J58" s="1">
        <v>0.25</v>
      </c>
      <c r="K58" s="1">
        <v>0.17</v>
      </c>
      <c r="L58" s="1">
        <v>60</v>
      </c>
      <c r="M58" s="1">
        <v>65</v>
      </c>
      <c r="N58" s="1">
        <v>70</v>
      </c>
      <c r="O58" s="2">
        <v>6.2500000000000003E-3</v>
      </c>
      <c r="P58" s="5">
        <v>0.75</v>
      </c>
      <c r="Q58" s="5">
        <v>524.64</v>
      </c>
      <c r="R58" s="5">
        <v>2.7E-2</v>
      </c>
      <c r="S58" s="4">
        <v>1</v>
      </c>
      <c r="T58" s="4">
        <v>7.4999999999999997E-3</v>
      </c>
      <c r="U58" s="4">
        <v>7.4999999999999997E-3</v>
      </c>
      <c r="V58" s="4">
        <v>0</v>
      </c>
      <c r="W58" s="4">
        <v>0</v>
      </c>
      <c r="X58" s="4">
        <v>1.4999999999999999E-2</v>
      </c>
      <c r="Y58" s="4">
        <v>0</v>
      </c>
      <c r="Z58" s="4">
        <v>8.3299999999999999E-2</v>
      </c>
      <c r="AA58" s="4">
        <v>0</v>
      </c>
      <c r="AB58" s="8">
        <v>2.0799999999999998E-3</v>
      </c>
      <c r="AC58" s="8">
        <v>8.3300000000000006E-3</v>
      </c>
    </row>
    <row r="59" spans="1:29" x14ac:dyDescent="0.25">
      <c r="A59" s="6">
        <v>2023</v>
      </c>
      <c r="B59" s="1">
        <v>66600</v>
      </c>
      <c r="C59" s="1">
        <v>3500</v>
      </c>
      <c r="D59" s="2">
        <v>4.9500000000000002E-2</v>
      </c>
      <c r="E59" s="2">
        <v>4.9500000000000002E-2</v>
      </c>
      <c r="F59" s="3">
        <v>9.9000000000000005E-2</v>
      </c>
      <c r="G59" s="3">
        <v>7.1999999999999995E-2</v>
      </c>
      <c r="H59" s="3">
        <v>8.4000000000000005E-2</v>
      </c>
      <c r="I59" s="1">
        <v>5</v>
      </c>
      <c r="J59" s="1">
        <v>0.25</v>
      </c>
      <c r="K59" s="1">
        <v>0.17</v>
      </c>
      <c r="L59" s="1">
        <v>60</v>
      </c>
      <c r="M59" s="1">
        <v>65</v>
      </c>
      <c r="N59" s="1">
        <v>70</v>
      </c>
      <c r="O59" s="2">
        <v>6.2500000000000003E-3</v>
      </c>
      <c r="P59" s="5">
        <v>0.75</v>
      </c>
      <c r="Q59" s="5">
        <v>558.74</v>
      </c>
      <c r="R59" s="5">
        <v>6.5000000000000002E-2</v>
      </c>
      <c r="S59" s="4">
        <v>1</v>
      </c>
      <c r="T59" s="4">
        <v>0.01</v>
      </c>
      <c r="U59" s="4">
        <v>0.01</v>
      </c>
      <c r="V59" s="4">
        <v>0</v>
      </c>
      <c r="W59" s="4">
        <v>0</v>
      </c>
      <c r="X59" s="4">
        <v>0.02</v>
      </c>
      <c r="Y59" s="4">
        <v>0</v>
      </c>
      <c r="Z59" s="4">
        <v>8.3299999999999999E-2</v>
      </c>
      <c r="AA59" s="4">
        <v>0</v>
      </c>
      <c r="AB59" s="8">
        <v>2.0799999999999998E-3</v>
      </c>
      <c r="AC59" s="8">
        <v>8.3300000000000006E-3</v>
      </c>
    </row>
    <row r="60" spans="1:29" x14ac:dyDescent="0.25">
      <c r="A60" s="6">
        <v>2024</v>
      </c>
      <c r="B60" s="1">
        <v>68500</v>
      </c>
      <c r="C60" s="1">
        <v>3500</v>
      </c>
      <c r="D60" s="2">
        <v>4.9500000000000002E-2</v>
      </c>
      <c r="E60" s="2">
        <v>4.9500000000000002E-2</v>
      </c>
      <c r="F60" s="3">
        <v>9.9000000000000005E-2</v>
      </c>
      <c r="G60" s="3">
        <v>7.1999999999999995E-2</v>
      </c>
      <c r="H60" s="3">
        <v>8.4000000000000005E-2</v>
      </c>
      <c r="I60" s="1">
        <v>5</v>
      </c>
      <c r="J60" s="1">
        <v>0.25</v>
      </c>
      <c r="K60" s="1">
        <v>0.17</v>
      </c>
      <c r="L60" s="1">
        <v>60</v>
      </c>
      <c r="M60" s="1">
        <v>65</v>
      </c>
      <c r="N60" s="1">
        <v>70</v>
      </c>
      <c r="O60" s="2">
        <v>6.2500000000000003E-3</v>
      </c>
      <c r="P60" s="5">
        <v>0.75</v>
      </c>
      <c r="Q60" s="5">
        <v>583.32000000000005</v>
      </c>
      <c r="R60" s="5">
        <v>4.3999999999999997E-2</v>
      </c>
      <c r="S60" s="4">
        <v>1.06861313869</v>
      </c>
      <c r="T60" s="4">
        <v>0.01</v>
      </c>
      <c r="U60" s="4">
        <v>0.01</v>
      </c>
      <c r="V60" s="4">
        <v>0.04</v>
      </c>
      <c r="W60" s="4">
        <v>0.04</v>
      </c>
      <c r="X60" s="4">
        <v>0.02</v>
      </c>
      <c r="Y60" s="4">
        <v>0.08</v>
      </c>
      <c r="Z60" s="4">
        <v>8.3299999999999999E-2</v>
      </c>
      <c r="AA60" s="4">
        <v>0.33329999999999999</v>
      </c>
      <c r="AB60" s="8">
        <v>2.0799999999999998E-3</v>
      </c>
      <c r="AC60" s="8">
        <v>8.3300000000000006E-3</v>
      </c>
    </row>
    <row r="61" spans="1:29" x14ac:dyDescent="0.25">
      <c r="A61" s="6">
        <v>2025</v>
      </c>
      <c r="B61" s="1">
        <v>71300</v>
      </c>
      <c r="C61" s="1">
        <v>3500</v>
      </c>
      <c r="D61" s="2">
        <v>4.9500000000000002E-2</v>
      </c>
      <c r="E61" s="2">
        <v>4.9500000000000002E-2</v>
      </c>
      <c r="F61" s="3">
        <v>9.9000000000000005E-2</v>
      </c>
      <c r="G61" s="3">
        <v>7.1999999999999995E-2</v>
      </c>
      <c r="H61" s="3">
        <v>8.4000000000000005E-2</v>
      </c>
      <c r="I61" s="1">
        <v>5</v>
      </c>
      <c r="J61" s="1">
        <v>0.25</v>
      </c>
      <c r="K61" s="1">
        <v>0.17</v>
      </c>
      <c r="L61" s="1">
        <v>60</v>
      </c>
      <c r="M61" s="1">
        <v>65</v>
      </c>
      <c r="N61" s="1">
        <v>70</v>
      </c>
      <c r="O61" s="2">
        <v>6.2500000000000003E-3</v>
      </c>
      <c r="P61" s="5">
        <v>0.75</v>
      </c>
      <c r="Q61" s="5">
        <v>598.49</v>
      </c>
      <c r="R61" s="5">
        <v>2.5999999999999999E-2</v>
      </c>
      <c r="S61" s="4">
        <v>1.1388499298700001</v>
      </c>
      <c r="T61" s="4">
        <v>0.01</v>
      </c>
      <c r="U61" s="4">
        <v>0.01</v>
      </c>
      <c r="V61" s="4">
        <v>0.04</v>
      </c>
      <c r="W61" s="4">
        <v>0.04</v>
      </c>
      <c r="X61" s="4">
        <v>0.02</v>
      </c>
      <c r="Y61" s="4">
        <v>0.08</v>
      </c>
      <c r="Z61" s="4">
        <v>8.3299999999999999E-2</v>
      </c>
      <c r="AA61" s="4">
        <v>0.33329999999999999</v>
      </c>
      <c r="AB61" s="8">
        <v>2.0799999999999998E-3</v>
      </c>
      <c r="AC61" s="8">
        <v>8.3300000000000006E-3</v>
      </c>
    </row>
    <row r="62" spans="1:29" x14ac:dyDescent="0.25">
      <c r="A62" s="6">
        <v>2026</v>
      </c>
      <c r="B62" s="1">
        <v>74600</v>
      </c>
      <c r="C62" s="1">
        <v>3500</v>
      </c>
      <c r="D62" s="2">
        <v>4.9500000000000002E-2</v>
      </c>
      <c r="E62" s="2">
        <v>4.9500000000000002E-2</v>
      </c>
      <c r="F62" s="3">
        <v>9.9000000000000005E-2</v>
      </c>
      <c r="G62" s="3">
        <v>7.1999999999999995E-2</v>
      </c>
      <c r="H62" s="3">
        <v>8.4000000000000005E-2</v>
      </c>
      <c r="I62" s="1">
        <v>5</v>
      </c>
      <c r="J62" s="1">
        <v>0.25</v>
      </c>
      <c r="K62" s="1">
        <v>0.17</v>
      </c>
      <c r="L62" s="1">
        <v>60</v>
      </c>
      <c r="M62" s="1">
        <v>65</v>
      </c>
      <c r="N62" s="1">
        <v>70</v>
      </c>
      <c r="O62" s="2">
        <v>6.2500000000000003E-3</v>
      </c>
      <c r="P62" s="5">
        <v>0.75</v>
      </c>
      <c r="Q62" s="5">
        <v>610.46</v>
      </c>
      <c r="R62" s="5">
        <v>0.02</v>
      </c>
      <c r="S62" s="4">
        <v>1.13941018766756</v>
      </c>
      <c r="T62" s="4">
        <v>0.01</v>
      </c>
      <c r="U62" s="4">
        <v>0.01</v>
      </c>
      <c r="V62" s="4">
        <v>0.04</v>
      </c>
      <c r="W62" s="4">
        <v>0.04</v>
      </c>
      <c r="X62" s="4">
        <v>0.02</v>
      </c>
      <c r="Y62" s="4">
        <v>0.08</v>
      </c>
      <c r="Z62" s="4">
        <v>8.3299999999999999E-2</v>
      </c>
      <c r="AA62" s="4">
        <v>0.33329999999999999</v>
      </c>
      <c r="AB62" s="8">
        <v>2.0799999999999998E-3</v>
      </c>
      <c r="AC62" s="8">
        <v>8.3300000000000006E-3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cppyear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Nicholas-James Clavet</cp:lastModifiedBy>
  <dcterms:created xsi:type="dcterms:W3CDTF">2018-07-12T15:44:36Z</dcterms:created>
  <dcterms:modified xsi:type="dcterms:W3CDTF">2026-05-26T15:00:40Z</dcterms:modified>
</cp:coreProperties>
</file>